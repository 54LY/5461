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11988\Desktop\"/>
    </mc:Choice>
  </mc:AlternateContent>
  <xr:revisionPtr revIDLastSave="0" documentId="13_ncr:1_{E473B2A1-53BF-4014-8C23-E71F73ECF0AB}" xr6:coauthVersionLast="47" xr6:coauthVersionMax="47" xr10:uidLastSave="{00000000-0000-0000-0000-000000000000}"/>
  <bookViews>
    <workbookView xWindow="-90" yWindow="45" windowWidth="27075" windowHeight="15225" xr2:uid="{00000000-000D-0000-FFFF-FFFF00000000}"/>
  </bookViews>
  <sheets>
    <sheet name="链路预算" sheetId="9" r:id="rId1"/>
  </sheets>
  <calcPr calcId="191029"/>
</workbook>
</file>

<file path=xl/calcChain.xml><?xml version="1.0" encoding="utf-8"?>
<calcChain xmlns="http://schemas.openxmlformats.org/spreadsheetml/2006/main">
  <c r="B18" i="9" l="1"/>
  <c r="F23" i="9" l="1"/>
  <c r="F14" i="9" s="1"/>
  <c r="E23" i="9"/>
  <c r="F18" i="9"/>
  <c r="E18" i="9"/>
  <c r="E25" i="9" s="1"/>
  <c r="E14" i="9"/>
  <c r="F5" i="9"/>
  <c r="F6" i="9" s="1"/>
  <c r="F11" i="9" s="1"/>
  <c r="E5" i="9"/>
  <c r="E6" i="9" s="1"/>
  <c r="E11" i="9" s="1"/>
  <c r="C23" i="9"/>
  <c r="C14" i="9" s="1"/>
  <c r="B23" i="9"/>
  <c r="C18" i="9"/>
  <c r="C28" i="9" s="1"/>
  <c r="C5" i="9"/>
  <c r="C6" i="9" s="1"/>
  <c r="C11" i="9" s="1"/>
  <c r="B5" i="9"/>
  <c r="B6" i="9" s="1"/>
  <c r="B11" i="9" s="1"/>
  <c r="B25" i="9" l="1"/>
  <c r="C25" i="9"/>
  <c r="F28" i="9"/>
  <c r="F25" i="9"/>
  <c r="E24" i="9"/>
  <c r="E26" i="9" s="1"/>
  <c r="F24" i="9"/>
  <c r="B14" i="9"/>
  <c r="B24" i="9" s="1"/>
  <c r="C24" i="9"/>
  <c r="F26" i="9" l="1"/>
  <c r="F27" i="9" s="1"/>
  <c r="F29" i="9" s="1"/>
  <c r="B26" i="9"/>
  <c r="C26" i="9"/>
  <c r="C27" i="9" l="1"/>
  <c r="C29" i="9" s="1"/>
</calcChain>
</file>

<file path=xl/sharedStrings.xml><?xml version="1.0" encoding="utf-8"?>
<sst xmlns="http://schemas.openxmlformats.org/spreadsheetml/2006/main" count="37" uniqueCount="37">
  <si>
    <t>参数</t>
    <phoneticPr fontId="3" type="noConversion"/>
  </si>
  <si>
    <t>自由空间损耗FSPL（dB）</t>
    <phoneticPr fontId="3" type="noConversion"/>
  </si>
  <si>
    <t>接收 C/N（dB）</t>
    <phoneticPr fontId="3" type="noConversion"/>
  </si>
  <si>
    <t>接收噪声强度（dBm）</t>
    <phoneticPr fontId="3" type="noConversion"/>
  </si>
  <si>
    <t>接收信号强度（dBm）</t>
    <phoneticPr fontId="3" type="noConversion"/>
  </si>
  <si>
    <t>闪烁损耗（dB）</t>
    <phoneticPr fontId="3" type="noConversion"/>
  </si>
  <si>
    <t>大气损耗（dB）</t>
    <phoneticPr fontId="3" type="noConversion"/>
  </si>
  <si>
    <t>极化损耗（dB）</t>
    <phoneticPr fontId="3" type="noConversion"/>
  </si>
  <si>
    <t>阴影裕量（dB）</t>
    <phoneticPr fontId="3" type="noConversion"/>
  </si>
  <si>
    <t>空间损耗（dB）</t>
    <phoneticPr fontId="3" type="noConversion"/>
  </si>
  <si>
    <t>带宽（kHz）</t>
    <phoneticPr fontId="3" type="noConversion"/>
  </si>
  <si>
    <t>通信距离（km）</t>
    <phoneticPr fontId="3" type="noConversion"/>
  </si>
  <si>
    <t>等效噪声温度T（K）</t>
    <phoneticPr fontId="3" type="noConversion"/>
  </si>
  <si>
    <t>噪声系数NF</t>
    <phoneticPr fontId="3" type="noConversion"/>
  </si>
  <si>
    <t>RX G/T（dB/K）</t>
    <phoneticPr fontId="3" type="noConversion"/>
  </si>
  <si>
    <t>星下距离（km）</t>
    <phoneticPr fontId="3" type="noConversion"/>
  </si>
  <si>
    <t>RX max Gain（dBi）</t>
    <phoneticPr fontId="3" type="noConversion"/>
  </si>
  <si>
    <t>频率频段（GHz）</t>
    <phoneticPr fontId="3" type="noConversion"/>
  </si>
  <si>
    <t>终端TX EIRP（dBW）</t>
    <phoneticPr fontId="3" type="noConversion"/>
  </si>
  <si>
    <t>扩频倍数</t>
    <phoneticPr fontId="3" type="noConversion"/>
  </si>
  <si>
    <t>滚降系数</t>
    <phoneticPr fontId="3" type="noConversion"/>
  </si>
  <si>
    <t>卫星EIRP density（dbW/MHz）</t>
    <phoneticPr fontId="3" type="noConversion"/>
  </si>
  <si>
    <t>编码效率</t>
    <phoneticPr fontId="3" type="noConversion"/>
  </si>
  <si>
    <t>有效BIT速率（kbps）</t>
    <phoneticPr fontId="3" type="noConversion"/>
  </si>
  <si>
    <t>解调门限C/N（dB）</t>
    <phoneticPr fontId="3" type="noConversion"/>
  </si>
  <si>
    <t>信关站（下行）</t>
    <phoneticPr fontId="3" type="noConversion"/>
  </si>
  <si>
    <t>总链路余量（dB）</t>
    <phoneticPr fontId="3" type="noConversion"/>
  </si>
  <si>
    <t>信关站(上行)</t>
    <phoneticPr fontId="3" type="noConversion"/>
  </si>
  <si>
    <t>总链路C/N(dB)</t>
    <phoneticPr fontId="3" type="noConversion"/>
  </si>
  <si>
    <t>调制方式（QPSK调制）</t>
    <phoneticPr fontId="3" type="noConversion"/>
  </si>
  <si>
    <t>总C/N的去计算：分别倒数求和再倒数</t>
    <phoneticPr fontId="3" type="noConversion"/>
  </si>
  <si>
    <t>上行</t>
    <phoneticPr fontId="3" type="noConversion"/>
  </si>
  <si>
    <t>下行</t>
    <phoneticPr fontId="3" type="noConversion"/>
  </si>
  <si>
    <t>极限仰角（°）</t>
    <phoneticPr fontId="3" type="noConversion"/>
  </si>
  <si>
    <t>卫星发射功率，接收G/T值参考星链低轨</t>
    <phoneticPr fontId="3" type="noConversion"/>
  </si>
  <si>
    <t>终端发射功率参考 CT6261</t>
    <phoneticPr fontId="3" type="noConversion"/>
  </si>
  <si>
    <t>噪声系数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</si>
</sst>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000E+00"/>
  </numFmts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rgb="FF333333"/>
      <name val="Arial"/>
      <family val="2"/>
    </font>
    <font>
      <sz val="11"/>
      <color rgb="FFFF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176" fontId="0" fillId="0" borderId="0" xfId="0" applyNumberFormat="1"/>
    <xf numFmtId="176" fontId="0" fillId="2" borderId="1" xfId="0" applyNumberFormat="1" applyFill="1" applyBorder="1" applyAlignment="1">
      <alignment wrapText="1"/>
    </xf>
    <xf numFmtId="176" fontId="0" fillId="2" borderId="1" xfId="0" applyNumberFormat="1" applyFill="1" applyBorder="1"/>
    <xf numFmtId="0" fontId="1" fillId="3" borderId="1" xfId="0" applyFont="1" applyFill="1" applyBorder="1" applyAlignment="1">
      <alignment wrapText="1"/>
    </xf>
    <xf numFmtId="176" fontId="0" fillId="3" borderId="1" xfId="0" applyNumberFormat="1" applyFill="1" applyBorder="1" applyAlignment="1">
      <alignment wrapText="1"/>
    </xf>
    <xf numFmtId="0" fontId="1" fillId="0" borderId="1" xfId="0" applyFont="1" applyBorder="1" applyAlignment="1">
      <alignment wrapText="1"/>
    </xf>
    <xf numFmtId="176" fontId="0" fillId="0" borderId="1" xfId="0" applyNumberFormat="1" applyBorder="1" applyAlignment="1">
      <alignment wrapText="1"/>
    </xf>
    <xf numFmtId="176" fontId="2" fillId="0" borderId="1" xfId="0" applyNumberFormat="1" applyFont="1" applyBorder="1" applyAlignment="1">
      <alignment wrapText="1"/>
    </xf>
    <xf numFmtId="176" fontId="2" fillId="0" borderId="1" xfId="0" applyNumberFormat="1" applyFont="1" applyBorder="1"/>
    <xf numFmtId="176" fontId="2" fillId="3" borderId="1" xfId="0" applyNumberFormat="1" applyFont="1" applyFill="1" applyBorder="1" applyAlignment="1">
      <alignment wrapText="1"/>
    </xf>
    <xf numFmtId="176" fontId="0" fillId="4" borderId="1" xfId="0" applyNumberForma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0" fillId="0" borderId="1" xfId="0" applyBorder="1"/>
    <xf numFmtId="176" fontId="0" fillId="0" borderId="1" xfId="0" applyNumberFormat="1" applyBorder="1"/>
    <xf numFmtId="0" fontId="2" fillId="3" borderId="1" xfId="0" applyFont="1" applyFill="1" applyBorder="1"/>
    <xf numFmtId="0" fontId="1" fillId="0" borderId="2" xfId="0" applyFont="1" applyBorder="1" applyAlignment="1">
      <alignment wrapText="1"/>
    </xf>
    <xf numFmtId="0" fontId="1" fillId="3" borderId="2" xfId="0" applyFont="1" applyFill="1" applyBorder="1" applyAlignment="1">
      <alignment wrapText="1"/>
    </xf>
    <xf numFmtId="176" fontId="0" fillId="3" borderId="2" xfId="0" applyNumberFormat="1" applyFill="1" applyBorder="1" applyAlignment="1">
      <alignment wrapText="1"/>
    </xf>
    <xf numFmtId="177" fontId="0" fillId="0" borderId="0" xfId="0" applyNumberFormat="1"/>
    <xf numFmtId="11" fontId="0" fillId="5" borderId="1" xfId="0" applyNumberFormat="1" applyFill="1" applyBorder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27</xdr:row>
      <xdr:rowOff>57150</xdr:rowOff>
    </xdr:from>
    <xdr:to>
      <xdr:col>15</xdr:col>
      <xdr:colOff>200611</xdr:colOff>
      <xdr:row>36</xdr:row>
      <xdr:rowOff>158003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4CCA04C-B9E3-8EFF-1073-865F26465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0" y="5200650"/>
          <a:ext cx="4991686" cy="1815353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</xdr:row>
      <xdr:rowOff>80618</xdr:rowOff>
    </xdr:from>
    <xdr:to>
      <xdr:col>12</xdr:col>
      <xdr:colOff>132821</xdr:colOff>
      <xdr:row>7</xdr:row>
      <xdr:rowOff>171219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F595E0D-9929-4B5B-256D-825D4A2B3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58325" y="271118"/>
          <a:ext cx="2837921" cy="1233601"/>
        </a:xfrm>
        <a:prstGeom prst="rect">
          <a:avLst/>
        </a:prstGeom>
      </xdr:spPr>
    </xdr:pic>
    <xdr:clientData/>
  </xdr:twoCellAnchor>
  <xdr:twoCellAnchor editAs="oneCell">
    <xdr:from>
      <xdr:col>8</xdr:col>
      <xdr:colOff>38099</xdr:colOff>
      <xdr:row>8</xdr:row>
      <xdr:rowOff>11430</xdr:rowOff>
    </xdr:from>
    <xdr:to>
      <xdr:col>14</xdr:col>
      <xdr:colOff>608622</xdr:colOff>
      <xdr:row>19</xdr:row>
      <xdr:rowOff>190025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7A5B22D-53B6-7B74-4771-3CD0B1084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58324" y="1535430"/>
          <a:ext cx="4685323" cy="2274095"/>
        </a:xfrm>
        <a:prstGeom prst="rect">
          <a:avLst/>
        </a:prstGeom>
      </xdr:spPr>
    </xdr:pic>
    <xdr:clientData/>
  </xdr:twoCellAnchor>
  <xdr:twoCellAnchor editAs="oneCell">
    <xdr:from>
      <xdr:col>15</xdr:col>
      <xdr:colOff>9524</xdr:colOff>
      <xdr:row>1</xdr:row>
      <xdr:rowOff>60603</xdr:rowOff>
    </xdr:from>
    <xdr:to>
      <xdr:col>21</xdr:col>
      <xdr:colOff>465827</xdr:colOff>
      <xdr:row>9</xdr:row>
      <xdr:rowOff>66374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946731C-09B7-E8AA-A7A5-98FDEB6A3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30349" y="251103"/>
          <a:ext cx="4571103" cy="1529771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</xdr:colOff>
      <xdr:row>12</xdr:row>
      <xdr:rowOff>67571</xdr:rowOff>
    </xdr:from>
    <xdr:to>
      <xdr:col>21</xdr:col>
      <xdr:colOff>572932</xdr:colOff>
      <xdr:row>20</xdr:row>
      <xdr:rowOff>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968E14D-005B-9E9F-D294-F6C00566B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58925" y="2353571"/>
          <a:ext cx="4649632" cy="1456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64DE-4538-46AC-8FAC-FA04B566BABA}">
  <dimension ref="A1:P34"/>
  <sheetViews>
    <sheetView tabSelected="1" zoomScaleNormal="100" workbookViewId="0">
      <selection activeCell="H14" sqref="H14"/>
    </sheetView>
  </sheetViews>
  <sheetFormatPr defaultRowHeight="15" customHeight="1" x14ac:dyDescent="0.15"/>
  <cols>
    <col min="1" max="1" width="31.875" customWidth="1"/>
    <col min="2" max="2" width="13.125" customWidth="1"/>
    <col min="3" max="3" width="16.25" customWidth="1"/>
    <col min="5" max="5" width="16.625" customWidth="1"/>
    <col min="6" max="6" width="18.75" customWidth="1"/>
  </cols>
  <sheetData>
    <row r="1" spans="1:16" ht="15" customHeight="1" x14ac:dyDescent="0.15">
      <c r="A1" s="7" t="s">
        <v>0</v>
      </c>
      <c r="B1" s="7" t="s">
        <v>31</v>
      </c>
      <c r="C1" s="7" t="s">
        <v>25</v>
      </c>
      <c r="E1" s="7" t="s">
        <v>27</v>
      </c>
      <c r="F1" s="7" t="s">
        <v>32</v>
      </c>
      <c r="I1" s="1" t="s">
        <v>34</v>
      </c>
      <c r="P1" s="1" t="s">
        <v>35</v>
      </c>
    </row>
    <row r="2" spans="1:16" ht="15" customHeight="1" x14ac:dyDescent="0.15">
      <c r="A2" s="13" t="s">
        <v>33</v>
      </c>
      <c r="B2" s="13">
        <v>20</v>
      </c>
      <c r="C2" s="13">
        <v>20</v>
      </c>
      <c r="E2" s="13">
        <v>20</v>
      </c>
      <c r="F2" s="13">
        <v>20</v>
      </c>
    </row>
    <row r="3" spans="1:16" ht="15" customHeight="1" x14ac:dyDescent="0.15">
      <c r="A3" s="5" t="s">
        <v>17</v>
      </c>
      <c r="B3" s="6">
        <v>2</v>
      </c>
      <c r="C3" s="6">
        <v>2</v>
      </c>
      <c r="E3" s="6">
        <v>2</v>
      </c>
      <c r="F3" s="6">
        <v>2</v>
      </c>
    </row>
    <row r="4" spans="1:16" ht="15" customHeight="1" x14ac:dyDescent="0.2">
      <c r="A4" s="5" t="s">
        <v>15</v>
      </c>
      <c r="B4" s="14">
        <v>500</v>
      </c>
      <c r="C4" s="14">
        <v>500</v>
      </c>
      <c r="E4" s="14">
        <v>500</v>
      </c>
      <c r="F4" s="14">
        <v>500</v>
      </c>
    </row>
    <row r="5" spans="1:16" ht="15" customHeight="1" x14ac:dyDescent="0.15">
      <c r="A5" s="17" t="s">
        <v>11</v>
      </c>
      <c r="B5" s="2">
        <f xml:space="preserve"> SIN( PI() - PI()*(90+B2)/180 - ASIN( SIN(PI()*(90+B2)/180)/((B4+6357)/6357) ) )   /   ( SIN(PI()*(90+B2)/180)/((B4+6357)/6357) )   * 6357</f>
        <v>1192.4144792428203</v>
      </c>
      <c r="C5" s="16">
        <f xml:space="preserve"> SIN( PI() - PI()*(90+C2)/180 - ASIN( SIN(PI()*(90+C2)/180)/((C4+6357)/6357) ) )   /   ( SIN(PI()*(90+C2)/180)/((C4+6357)/6357) )   * 6357</f>
        <v>1192.4144792428203</v>
      </c>
      <c r="E5" s="16">
        <f xml:space="preserve"> SIN( PI() - PI()*(90+E2)/180 - ASIN( SIN(PI()*(90+E2)/180)/((E4+6357)/6357) ) )   /   ( SIN(PI()*(90+E2)/180)/((E4+6357)/6357) )   * 6357</f>
        <v>1192.4144792428203</v>
      </c>
      <c r="F5" s="16">
        <f xml:space="preserve"> SIN( PI() - PI()*(90+F2)/180 - ASIN( SIN(PI()*(90+F2)/180)/((F4+6357)/6357) ) )   /   ( SIN(PI()*(90+F2)/180)/((F4+6357)/6357) )   * 6357</f>
        <v>1192.4144792428203</v>
      </c>
    </row>
    <row r="6" spans="1:16" ht="15" customHeight="1" x14ac:dyDescent="0.15">
      <c r="A6" s="7" t="s">
        <v>1</v>
      </c>
      <c r="B6" s="8">
        <f>20*LOG10(4*PI()*B5*B3*1000/0.3)</f>
        <v>159.99091691814502</v>
      </c>
      <c r="C6" s="8">
        <f>20*LOG10(4*PI()*C5*C3*1000/0.3)</f>
        <v>159.99091691814502</v>
      </c>
      <c r="E6" s="8">
        <f>20*LOG10(4*PI()*E5*E3*1000/0.3)</f>
        <v>159.99091691814502</v>
      </c>
      <c r="F6" s="8">
        <f>20*LOG10(4*PI()*F5*F3*1000/0.3)</f>
        <v>159.99091691814502</v>
      </c>
      <c r="I6" s="2"/>
    </row>
    <row r="7" spans="1:16" ht="15" customHeight="1" x14ac:dyDescent="0.15">
      <c r="A7" s="7" t="s">
        <v>5</v>
      </c>
      <c r="B7" s="8">
        <v>0.5</v>
      </c>
      <c r="C7" s="8">
        <v>0.5</v>
      </c>
      <c r="E7" s="8">
        <v>0.5</v>
      </c>
      <c r="F7" s="8">
        <v>0.5</v>
      </c>
    </row>
    <row r="8" spans="1:16" ht="15" customHeight="1" x14ac:dyDescent="0.15">
      <c r="A8" s="7" t="s">
        <v>6</v>
      </c>
      <c r="B8" s="8">
        <v>0.5</v>
      </c>
      <c r="C8" s="8">
        <v>0.5</v>
      </c>
      <c r="E8" s="8">
        <v>0.5</v>
      </c>
      <c r="F8" s="8">
        <v>0.5</v>
      </c>
    </row>
    <row r="9" spans="1:16" ht="15" customHeight="1" x14ac:dyDescent="0.15">
      <c r="A9" s="7" t="s">
        <v>7</v>
      </c>
      <c r="B9" s="8">
        <v>0.5</v>
      </c>
      <c r="C9" s="8">
        <v>0.5</v>
      </c>
      <c r="E9" s="8">
        <v>0.5</v>
      </c>
      <c r="F9" s="8">
        <v>0.5</v>
      </c>
    </row>
    <row r="10" spans="1:16" ht="15" customHeight="1" x14ac:dyDescent="0.15">
      <c r="A10" s="7" t="s">
        <v>8</v>
      </c>
      <c r="B10" s="8">
        <v>0.5</v>
      </c>
      <c r="C10" s="8">
        <v>0.5</v>
      </c>
      <c r="E10" s="8">
        <v>0.5</v>
      </c>
      <c r="F10" s="8">
        <v>0.5</v>
      </c>
    </row>
    <row r="11" spans="1:16" ht="15" customHeight="1" x14ac:dyDescent="0.15">
      <c r="A11" s="7" t="s">
        <v>9</v>
      </c>
      <c r="B11" s="8">
        <f>SUM(B6:B10)</f>
        <v>161.99091691814502</v>
      </c>
      <c r="C11" s="8">
        <f>SUM(C6:C10)</f>
        <v>161.99091691814502</v>
      </c>
      <c r="E11" s="8">
        <f>SUM(E6:E10)</f>
        <v>161.99091691814502</v>
      </c>
      <c r="F11" s="8">
        <f>SUM(F6:F10)</f>
        <v>161.99091691814502</v>
      </c>
    </row>
    <row r="12" spans="1:16" ht="15" customHeight="1" x14ac:dyDescent="0.15">
      <c r="A12" s="7" t="s">
        <v>18</v>
      </c>
      <c r="B12" s="3">
        <v>0</v>
      </c>
      <c r="C12" s="8"/>
      <c r="E12" s="3">
        <v>61.58</v>
      </c>
      <c r="F12" s="8"/>
      <c r="P12" s="1" t="s">
        <v>36</v>
      </c>
    </row>
    <row r="13" spans="1:16" ht="15" customHeight="1" x14ac:dyDescent="0.15">
      <c r="A13" s="7" t="s">
        <v>14</v>
      </c>
      <c r="B13" s="12">
        <v>9.5</v>
      </c>
      <c r="C13" s="3">
        <v>36.4</v>
      </c>
      <c r="E13" s="12">
        <v>9.5</v>
      </c>
      <c r="F13" s="3">
        <v>5</v>
      </c>
      <c r="G13" s="23"/>
    </row>
    <row r="14" spans="1:16" ht="15" customHeight="1" x14ac:dyDescent="0.15">
      <c r="A14" s="7" t="s">
        <v>16</v>
      </c>
      <c r="B14" s="9">
        <f xml:space="preserve"> B13 + 10*LOG(B23+290)</f>
        <v>36.823979978989563</v>
      </c>
      <c r="C14" s="9">
        <f xml:space="preserve"> C13 + 10*LOG(C23+290)</f>
        <v>65.023979978989559</v>
      </c>
      <c r="E14" s="9">
        <f xml:space="preserve"> E13 + 10*LOG(E23+290)</f>
        <v>41.523979978989566</v>
      </c>
      <c r="F14" s="9">
        <f xml:space="preserve"> F13 + 10*LOG(F23+290)</f>
        <v>33.62397997898956</v>
      </c>
    </row>
    <row r="15" spans="1:16" ht="15" customHeight="1" x14ac:dyDescent="0.15">
      <c r="A15" s="7" t="s">
        <v>21</v>
      </c>
      <c r="B15" s="8"/>
      <c r="C15" s="12">
        <v>22.2</v>
      </c>
      <c r="E15" s="8"/>
      <c r="F15" s="12">
        <v>9</v>
      </c>
    </row>
    <row r="16" spans="1:16" ht="15" customHeight="1" x14ac:dyDescent="0.15">
      <c r="A16" s="5" t="s">
        <v>13</v>
      </c>
      <c r="B16" s="6">
        <v>2.7</v>
      </c>
      <c r="C16" s="6">
        <v>4</v>
      </c>
      <c r="E16" s="6">
        <v>7.4</v>
      </c>
      <c r="F16" s="6">
        <v>4</v>
      </c>
    </row>
    <row r="17" spans="1:9" ht="15" customHeight="1" x14ac:dyDescent="0.15">
      <c r="A17" s="18" t="s">
        <v>20</v>
      </c>
      <c r="B17" s="15">
        <v>0</v>
      </c>
      <c r="C17" s="15">
        <v>0</v>
      </c>
      <c r="E17" s="15">
        <v>0</v>
      </c>
      <c r="F17" s="15">
        <v>0</v>
      </c>
    </row>
    <row r="18" spans="1:9" ht="15" customHeight="1" x14ac:dyDescent="0.15">
      <c r="A18" s="5" t="s">
        <v>10</v>
      </c>
      <c r="B18" s="11">
        <f xml:space="preserve"> (B22/B21 / B20 *B19) * (1+B17)</f>
        <v>6250</v>
      </c>
      <c r="C18" s="11">
        <f xml:space="preserve"> (C22/C21 / C20 *C19) * (1+C17)</f>
        <v>20000</v>
      </c>
      <c r="E18" s="11">
        <f xml:space="preserve"> (E22/E21 / E20 *E19) * (1+E17)</f>
        <v>20000</v>
      </c>
      <c r="F18" s="11">
        <f xml:space="preserve"> (F22/F21 / F20 *F19) * (1+F17)</f>
        <v>20000</v>
      </c>
    </row>
    <row r="19" spans="1:9" ht="15" customHeight="1" x14ac:dyDescent="0.15">
      <c r="A19" s="5" t="s">
        <v>19</v>
      </c>
      <c r="B19" s="6">
        <v>1</v>
      </c>
      <c r="C19" s="6">
        <v>1</v>
      </c>
      <c r="E19" s="6">
        <v>1</v>
      </c>
      <c r="F19" s="6">
        <v>1</v>
      </c>
    </row>
    <row r="20" spans="1:9" ht="15" customHeight="1" x14ac:dyDescent="0.15">
      <c r="A20" s="5" t="s">
        <v>29</v>
      </c>
      <c r="B20" s="6">
        <v>2</v>
      </c>
      <c r="C20" s="6">
        <v>2</v>
      </c>
      <c r="E20" s="6">
        <v>2</v>
      </c>
      <c r="F20" s="6">
        <v>2</v>
      </c>
    </row>
    <row r="21" spans="1:9" ht="15" customHeight="1" x14ac:dyDescent="0.15">
      <c r="A21" s="19" t="s">
        <v>22</v>
      </c>
      <c r="B21" s="20">
        <v>0.8</v>
      </c>
      <c r="C21" s="20">
        <v>0.8</v>
      </c>
      <c r="E21" s="20">
        <v>0.8</v>
      </c>
      <c r="F21" s="20">
        <v>0.8</v>
      </c>
    </row>
    <row r="22" spans="1:9" ht="15" customHeight="1" x14ac:dyDescent="0.15">
      <c r="A22" s="5" t="s">
        <v>23</v>
      </c>
      <c r="B22" s="4">
        <v>10000</v>
      </c>
      <c r="C22" s="4">
        <v>32000</v>
      </c>
      <c r="E22" s="4">
        <v>32000</v>
      </c>
      <c r="F22" s="4">
        <v>32000</v>
      </c>
    </row>
    <row r="23" spans="1:9" ht="15" customHeight="1" x14ac:dyDescent="0.15">
      <c r="A23" s="7" t="s">
        <v>12</v>
      </c>
      <c r="B23" s="10">
        <f>290 *( 10^(B16/10) - 1 )</f>
        <v>250.00526963223157</v>
      </c>
      <c r="C23" s="10">
        <f>290 *( 10^(C16/10) - 1 )</f>
        <v>438.4470651377784</v>
      </c>
      <c r="E23" s="10">
        <f>290 *( 10^(E16/10) - 1 )</f>
        <v>1303.6685341871114</v>
      </c>
      <c r="F23" s="10">
        <f>290 *( 10^(F16/10) - 1 )</f>
        <v>438.4470651377784</v>
      </c>
    </row>
    <row r="24" spans="1:9" ht="15" customHeight="1" x14ac:dyDescent="0.15">
      <c r="A24" s="7" t="s">
        <v>4</v>
      </c>
      <c r="B24" s="8">
        <f>-B11+(B12+30)+B14</f>
        <v>-95.166936939155448</v>
      </c>
      <c r="C24" s="8">
        <f>-C11 + (C15+30) + C14 + 10*LOG(C18*1000)-10*LOG(10^6)</f>
        <v>-31.756636982515644</v>
      </c>
      <c r="E24" s="8">
        <f>-E11+(E12+30)+E14</f>
        <v>-28.886936939155454</v>
      </c>
      <c r="F24" s="8">
        <f>-F11 + (F15+30) + F14 + 10*LOG(F18*1000)-10*LOG(10^6)</f>
        <v>-76.356636982515653</v>
      </c>
    </row>
    <row r="25" spans="1:9" ht="15" customHeight="1" x14ac:dyDescent="0.15">
      <c r="A25" s="7" t="s">
        <v>3</v>
      </c>
      <c r="B25" s="8">
        <f>-228.6+30+10*LOG(B23+290)+10*LOG(B18*1000)</f>
        <v>-103.31721984756967</v>
      </c>
      <c r="C25" s="8">
        <f>-228.6+30+10*LOG(C23+290)+10*LOG(C18*1000)</f>
        <v>-96.965720064370629</v>
      </c>
      <c r="E25" s="8">
        <f>-228.6+30+10*LOG(E23+290)+10*LOG(E18*1000)</f>
        <v>-93.565720064370623</v>
      </c>
      <c r="F25" s="8">
        <f>-228.6+30+10*LOG(F23+290)+10*LOG(F18*1000)</f>
        <v>-96.965720064370629</v>
      </c>
    </row>
    <row r="26" spans="1:9" ht="15" customHeight="1" x14ac:dyDescent="0.15">
      <c r="A26" s="5" t="s">
        <v>2</v>
      </c>
      <c r="B26" s="8">
        <f>B24-B25 + 10*LOG(B19)</f>
        <v>8.1502829084142263</v>
      </c>
      <c r="C26" s="8">
        <f>C24-C25 + 10*LOG(C19)</f>
        <v>65.209083081854985</v>
      </c>
      <c r="E26" s="8">
        <f>E24-E25 + 10*LOG(E19)</f>
        <v>64.678783125215176</v>
      </c>
      <c r="F26" s="8">
        <f>F24-F25 + 10*LOG(F19)</f>
        <v>20.609083081854976</v>
      </c>
    </row>
    <row r="27" spans="1:9" ht="15" customHeight="1" x14ac:dyDescent="0.15">
      <c r="A27" s="18" t="s">
        <v>28</v>
      </c>
      <c r="B27" s="15"/>
      <c r="C27" s="22">
        <f xml:space="preserve"> -10*LOG( 1/(10^(B26/10)) + 1/(10^(C26/10)) )</f>
        <v>8.1502743596396261</v>
      </c>
      <c r="E27" s="15"/>
      <c r="F27" s="22">
        <f xml:space="preserve"> -10*LOG( 1/(10^(E26/10)) + 1/(10^(F26/10)) )</f>
        <v>20.608912942101206</v>
      </c>
      <c r="I27" s="23" t="s">
        <v>30</v>
      </c>
    </row>
    <row r="28" spans="1:9" ht="15" customHeight="1" x14ac:dyDescent="0.15">
      <c r="A28" s="5" t="s">
        <v>24</v>
      </c>
      <c r="B28" s="6"/>
      <c r="C28" s="6">
        <f xml:space="preserve"> 4.5+10*LOG(C22/C21*C19 / C18)</f>
        <v>7.5102999566398125</v>
      </c>
      <c r="E28" s="6"/>
      <c r="F28" s="6">
        <f xml:space="preserve"> 4.5+10*LOG(F22/F21*F19 / F18)</f>
        <v>7.5102999566398125</v>
      </c>
    </row>
    <row r="29" spans="1:9" ht="15" customHeight="1" x14ac:dyDescent="0.15">
      <c r="A29" s="5" t="s">
        <v>26</v>
      </c>
      <c r="B29" s="6"/>
      <c r="C29" s="6">
        <f>C27-C28</f>
        <v>0.63997440299981356</v>
      </c>
      <c r="E29" s="6"/>
      <c r="F29" s="6">
        <f>F27-F28</f>
        <v>13.098612985461394</v>
      </c>
    </row>
    <row r="31" spans="1:9" ht="15" customHeight="1" x14ac:dyDescent="0.15">
      <c r="C31" s="21"/>
    </row>
    <row r="33" spans="5:5" ht="15" customHeight="1" x14ac:dyDescent="0.15">
      <c r="E33" s="1"/>
    </row>
    <row r="34" spans="5:5" ht="15" customHeight="1" x14ac:dyDescent="0.15">
      <c r="E34" s="1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链路预算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1 6</cp:lastModifiedBy>
  <dcterms:created xsi:type="dcterms:W3CDTF">2006-09-16T00:00:00Z</dcterms:created>
  <dcterms:modified xsi:type="dcterms:W3CDTF">2026-07-08T03:02:25Z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05DA47FE856A4424B884F363B2998A64_12</vt:lpwstr>
  </property>
  <property fmtid="{D5CDD505-2E9C-101B-9397-08002B2CF9AE}" pid="3" name="KSOProductBuildVer">
    <vt:lpwstr>2052-12.1.0.20305</vt:lpwstr>
  </property>
</Properties>
</file>